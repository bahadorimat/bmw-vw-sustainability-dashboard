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G Emissions" sheetId="1" state="visible" r:id="rId1"/>
    <sheet xmlns:r="http://schemas.openxmlformats.org/officeDocument/2006/relationships" name="KPI Scorecard" sheetId="2" state="visible" r:id="rId2"/>
    <sheet xmlns:r="http://schemas.openxmlformats.org/officeDocument/2006/relationships" name="Data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.00;-#,##0.00"/>
    <numFmt numFmtId="165" formatCode="0.0x"/>
    <numFmt numFmtId="166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3F2FD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 ht="30" customHeight="1">
      <c r="A1" s="1" t="inlineStr">
        <is>
          <t>Metric</t>
        </is>
      </c>
      <c r="B1" s="1" t="inlineStr">
        <is>
          <t>Unit</t>
        </is>
      </c>
      <c r="C1" s="1" t="inlineStr">
        <is>
          <t>BMW 2025</t>
        </is>
      </c>
      <c r="D1" s="1" t="inlineStr">
        <is>
          <t>BMW 2024</t>
        </is>
      </c>
      <c r="E1" s="1" t="inlineStr">
        <is>
          <t>BMW Change</t>
        </is>
      </c>
      <c r="F1" s="1" t="inlineStr">
        <is>
          <t>VW 2025</t>
        </is>
      </c>
      <c r="G1" s="1" t="inlineStr">
        <is>
          <t>VW 2024</t>
        </is>
      </c>
      <c r="H1" s="1" t="inlineStr">
        <is>
          <t>VW Change</t>
        </is>
      </c>
      <c r="I1" s="1" t="inlineStr">
        <is>
          <t>Ratio VW/BMW (2025)</t>
        </is>
      </c>
    </row>
    <row r="2" ht="20" customHeight="1">
      <c r="A2" s="2" t="inlineStr">
        <is>
          <t>Scope 1 (Mt CO2e)</t>
        </is>
      </c>
      <c r="B2" s="3" t="inlineStr">
        <is>
          <t>Mt CO2e</t>
        </is>
      </c>
      <c r="C2" s="4" t="n">
        <v>0.5</v>
      </c>
      <c r="D2" s="4" t="n">
        <v>0.55</v>
      </c>
      <c r="E2" s="5">
        <f>D2-C2</f>
        <v/>
      </c>
      <c r="F2" s="6" t="n">
        <v>2.4</v>
      </c>
      <c r="G2" s="6" t="n">
        <v>3</v>
      </c>
      <c r="H2" s="7">
        <f>G2-F2</f>
        <v/>
      </c>
      <c r="I2" s="8">
        <f>F2/C2</f>
        <v/>
      </c>
    </row>
    <row r="3" ht="20" customHeight="1">
      <c r="A3" s="2" t="inlineStr">
        <is>
          <t>Scope 2 market-based (Mt CO2e)</t>
        </is>
      </c>
      <c r="B3" s="3" t="inlineStr">
        <is>
          <t>Mt CO2e</t>
        </is>
      </c>
      <c r="C3" s="4" t="n">
        <v>0.311</v>
      </c>
      <c r="D3" s="4" t="n">
        <v>0.287</v>
      </c>
      <c r="E3" s="5">
        <f>D3-C3</f>
        <v/>
      </c>
      <c r="F3" s="6" t="n">
        <v>0.4</v>
      </c>
      <c r="G3" s="6" t="n">
        <v>0.5</v>
      </c>
      <c r="H3" s="7">
        <f>G3-F3</f>
        <v/>
      </c>
      <c r="I3" s="8">
        <f>F3/C3</f>
        <v/>
      </c>
    </row>
    <row r="4" ht="20" customHeight="1">
      <c r="A4" s="2" t="inlineStr">
        <is>
          <t>Scope 1+2 market-based (Mt CO2e)</t>
        </is>
      </c>
      <c r="B4" s="3" t="inlineStr">
        <is>
          <t>Mt CO2e</t>
        </is>
      </c>
      <c r="C4" s="4" t="n">
        <v>0.8110000000000001</v>
      </c>
      <c r="D4" s="4" t="n">
        <v>0.837</v>
      </c>
      <c r="E4" s="5">
        <f>D4-C4</f>
        <v/>
      </c>
      <c r="F4" s="6" t="n">
        <v>2.8</v>
      </c>
      <c r="G4" s="6" t="n">
        <v>3.5</v>
      </c>
      <c r="H4" s="7">
        <f>G4-F4</f>
        <v/>
      </c>
      <c r="I4" s="8">
        <f>F4/C4</f>
        <v/>
      </c>
    </row>
    <row r="5" ht="20" customHeight="1">
      <c r="A5" s="2" t="inlineStr">
        <is>
          <t>Scope 3 Total (Mt CO2e)</t>
        </is>
      </c>
      <c r="B5" s="3" t="inlineStr">
        <is>
          <t>Mt CO2e</t>
        </is>
      </c>
      <c r="C5" s="4" t="n">
        <v>127.54</v>
      </c>
      <c r="D5" s="4" t="n">
        <v>134.98</v>
      </c>
      <c r="E5" s="5">
        <f>D5-C5</f>
        <v/>
      </c>
      <c r="F5" s="6" t="n">
        <v>883.74</v>
      </c>
      <c r="G5" s="6" t="n">
        <v>824</v>
      </c>
      <c r="H5" s="7">
        <f>G5-F5</f>
        <v/>
      </c>
      <c r="I5" s="8">
        <f>F5/C5</f>
        <v/>
      </c>
    </row>
    <row r="6" ht="20" customHeight="1">
      <c r="A6" s="2" t="inlineStr">
        <is>
          <t>Total All Scopes (Mt CO2e)</t>
        </is>
      </c>
      <c r="B6" s="3" t="inlineStr">
        <is>
          <t>Mt CO2e</t>
        </is>
      </c>
      <c r="C6" s="4" t="n">
        <v>128.35</v>
      </c>
      <c r="D6" s="4" t="n">
        <v>135.82</v>
      </c>
      <c r="E6" s="5">
        <f>D6-C6</f>
        <v/>
      </c>
      <c r="F6" s="6" t="n">
        <v>886.54</v>
      </c>
      <c r="G6" s="6" t="n">
        <v>827.5</v>
      </c>
      <c r="H6" s="7">
        <f>G6-F6</f>
        <v/>
      </c>
      <c r="I6" s="8">
        <f>F6/C6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3" customWidth="1" min="8" max="8"/>
    <col width="22" customWidth="1" min="9" max="9"/>
  </cols>
  <sheetData>
    <row r="1" ht="30" customHeight="1">
      <c r="A1" s="1" t="inlineStr">
        <is>
          <t>KPI</t>
        </is>
      </c>
      <c r="B1" s="1" t="inlineStr">
        <is>
          <t>Unit</t>
        </is>
      </c>
      <c r="C1" s="1" t="inlineStr">
        <is>
          <t>BMW 2025</t>
        </is>
      </c>
      <c r="D1" s="1" t="inlineStr">
        <is>
          <t>BMW 2024</t>
        </is>
      </c>
      <c r="E1" s="1" t="inlineStr">
        <is>
          <t>BMW YoY %</t>
        </is>
      </c>
      <c r="F1" s="1" t="inlineStr">
        <is>
          <t>VW 2025</t>
        </is>
      </c>
      <c r="G1" s="1" t="inlineStr">
        <is>
          <t>VW 2024</t>
        </is>
      </c>
      <c r="H1" s="1" t="inlineStr">
        <is>
          <t>VW YoY %</t>
        </is>
      </c>
      <c r="I1" s="1" t="inlineStr">
        <is>
          <t>Better performer (2025)</t>
        </is>
      </c>
    </row>
    <row r="2" ht="22" customHeight="1">
      <c r="A2" s="2" t="inlineStr">
        <is>
          <t>Total Energy (million MWh)</t>
        </is>
      </c>
      <c r="B2" s="3" t="inlineStr">
        <is>
          <t>million MWh</t>
        </is>
      </c>
      <c r="C2" s="4" t="n">
        <v>6.18</v>
      </c>
      <c r="D2" s="4" t="n">
        <v>6.21</v>
      </c>
      <c r="E2" s="9">
        <f>D2/C2-1</f>
        <v/>
      </c>
      <c r="F2" s="6" t="n">
        <v>19.2</v>
      </c>
      <c r="G2" s="6" t="n">
        <v>19</v>
      </c>
      <c r="H2" s="10">
        <f>G2/F2-1</f>
        <v/>
      </c>
      <c r="I2" s="2" t="inlineStr">
        <is>
          <t>BMW</t>
        </is>
      </c>
    </row>
    <row r="3" ht="22" customHeight="1">
      <c r="A3" s="2" t="inlineStr">
        <is>
          <t>Renewable Energy Share (%)</t>
        </is>
      </c>
      <c r="B3" s="3" t="inlineStr">
        <is>
          <t>%</t>
        </is>
      </c>
      <c r="C3" s="4" t="n">
        <v>49.4</v>
      </c>
      <c r="D3" s="4" t="n">
        <v>48.5</v>
      </c>
      <c r="E3" s="9">
        <f>D3/C3-1</f>
        <v/>
      </c>
      <c r="F3" s="6" t="n">
        <v>40.6</v>
      </c>
      <c r="G3" s="6" t="n">
        <v>37.4</v>
      </c>
      <c r="H3" s="10">
        <f>G3/F3-1</f>
        <v/>
      </c>
      <c r="I3" s="2" t="inlineStr">
        <is>
          <t>BMW</t>
        </is>
      </c>
    </row>
    <row r="4" ht="22" customHeight="1">
      <c r="A4" s="2" t="inlineStr">
        <is>
          <t>Water Withdrawal (million m³)</t>
        </is>
      </c>
      <c r="B4" s="3" t="inlineStr">
        <is>
          <t>million m³</t>
        </is>
      </c>
      <c r="C4" s="4" t="n">
        <v>5.7</v>
      </c>
      <c r="D4" s="4" t="n">
        <v>5.85</v>
      </c>
      <c r="E4" s="9">
        <f>D4/C4-1</f>
        <v/>
      </c>
      <c r="F4" s="6" t="n">
        <v>19.9</v>
      </c>
      <c r="G4" s="6" t="n">
        <v>21.2</v>
      </c>
      <c r="H4" s="10">
        <f>G4/F4-1</f>
        <v/>
      </c>
      <c r="I4" s="2" t="inlineStr">
        <is>
          <t>BMW</t>
        </is>
      </c>
    </row>
    <row r="5" ht="22" customHeight="1">
      <c r="A5" s="2" t="inlineStr">
        <is>
          <t>Total Waste (thousand tonnes)</t>
        </is>
      </c>
      <c r="B5" s="3" t="inlineStr">
        <is>
          <t>thousand t</t>
        </is>
      </c>
      <c r="C5" s="4" t="n">
        <v>851.8</v>
      </c>
      <c r="D5" s="4" t="n">
        <v>873.4</v>
      </c>
      <c r="E5" s="9">
        <f>D5/C5-1</f>
        <v/>
      </c>
      <c r="F5" s="6" t="n">
        <v>2547.3</v>
      </c>
      <c r="G5" s="6" t="n">
        <v>2357.7</v>
      </c>
      <c r="H5" s="10">
        <f>G5/F5-1</f>
        <v/>
      </c>
      <c r="I5" s="2" t="inlineStr">
        <is>
          <t>BMW</t>
        </is>
      </c>
    </row>
    <row r="6" ht="22" customHeight="1">
      <c r="A6" s="2" t="inlineStr">
        <is>
          <t>Employees (thousands)</t>
        </is>
      </c>
      <c r="B6" s="3" t="inlineStr">
        <is>
          <t>thousands</t>
        </is>
      </c>
      <c r="C6" s="4" t="n">
        <v>154.5</v>
      </c>
      <c r="D6" s="4" t="n">
        <v>157.5</v>
      </c>
      <c r="E6" s="9">
        <f>D6/C6-1</f>
        <v/>
      </c>
      <c r="F6" s="6" t="n">
        <v>602.7</v>
      </c>
      <c r="G6" s="6" t="n">
        <v>614.1</v>
      </c>
      <c r="H6" s="10">
        <f>G6/F6-1</f>
        <v/>
      </c>
      <c r="I6" s="2" t="inlineStr">
        <is>
          <t>VW</t>
        </is>
      </c>
    </row>
    <row r="7" ht="22" customHeight="1">
      <c r="A7" s="2" t="inlineStr">
        <is>
          <t>Scope 3 per Employee (kt CO2e/emp)</t>
        </is>
      </c>
      <c r="B7" s="3" t="inlineStr">
        <is>
          <t>t CO2e/employee</t>
        </is>
      </c>
      <c r="C7" s="4" t="n">
        <v>825.5</v>
      </c>
      <c r="D7" s="4" t="n">
        <v>857</v>
      </c>
      <c r="E7" s="9">
        <f>D7/C7-1</f>
        <v/>
      </c>
      <c r="F7" s="6" t="n">
        <v>1466.3</v>
      </c>
      <c r="G7" s="6" t="n">
        <v>1341.8</v>
      </c>
      <c r="H7" s="10">
        <f>G7/F7-1</f>
        <v/>
      </c>
      <c r="I7" s="2" t="inlineStr">
        <is>
          <t>BMW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Field</t>
        </is>
      </c>
      <c r="B1" s="1" t="inlineStr">
        <is>
          <t>BMW Group</t>
        </is>
      </c>
      <c r="C1" s="1" t="inlineStr">
        <is>
          <t>Volkswagen Group</t>
        </is>
      </c>
    </row>
    <row r="2" ht="20" customHeight="1">
      <c r="A2" s="11" t="inlineStr">
        <is>
          <t>Report name</t>
        </is>
      </c>
      <c r="B2" s="12" t="inlineStr">
        <is>
          <t>BMW Group Report 2025</t>
        </is>
      </c>
      <c r="C2" s="13" t="inlineStr">
        <is>
          <t>VW ESRS Sustainability Report 2025</t>
        </is>
      </c>
    </row>
    <row r="3" ht="20" customHeight="1">
      <c r="A3" s="11" t="inlineStr">
        <is>
          <t>Page reference</t>
        </is>
      </c>
      <c r="B3" s="12" t="inlineStr">
        <is>
          <t>p. 128–129 (GHG), energy/water/waste sections</t>
        </is>
      </c>
      <c r="C3" s="13" t="inlineStr">
        <is>
          <t>p. 273 (Scope 3), KPI tables</t>
        </is>
      </c>
    </row>
    <row r="4" ht="20" customHeight="1">
      <c r="A4" s="11" t="inlineStr">
        <is>
          <t>Reporting year</t>
        </is>
      </c>
      <c r="B4" s="12" t="inlineStr">
        <is>
          <t>FY 2025 (Jan–Dec 2025)</t>
        </is>
      </c>
      <c r="C4" s="13" t="inlineStr">
        <is>
          <t>FY 2025 (Jan–Dec 2025)</t>
        </is>
      </c>
    </row>
    <row r="5" ht="20" customHeight="1">
      <c r="A5" s="11" t="inlineStr">
        <is>
          <t>GHG standard</t>
        </is>
      </c>
      <c r="B5" s="12" t="inlineStr">
        <is>
          <t>GHG Protocol Scope 3 Standard</t>
        </is>
      </c>
      <c r="C5" s="13" t="inlineStr">
        <is>
          <t>GHG Protocol Scope 3 Standard</t>
        </is>
      </c>
    </row>
    <row r="6" ht="20" customHeight="1">
      <c r="A6" s="11" t="inlineStr">
        <is>
          <t>CSRD standard</t>
        </is>
      </c>
      <c r="B6" s="12" t="inlineStr">
        <is>
          <t>ESRS Set 1 (2023)</t>
        </is>
      </c>
      <c r="C6" s="13" t="inlineStr">
        <is>
          <t>ESRS Set 1 (2023)</t>
        </is>
      </c>
    </row>
    <row r="7" ht="20" customHeight="1">
      <c r="A7" s="11" t="inlineStr">
        <is>
          <t>Auditor</t>
        </is>
      </c>
      <c r="B7" s="12" t="inlineStr">
        <is>
          <t>PricewaterhouseCoopers GmbH</t>
        </is>
      </c>
      <c r="C7" s="13" t="inlineStr">
        <is>
          <t>Ernst &amp; Young GmbH</t>
        </is>
      </c>
    </row>
    <row r="8" ht="20" customHeight="1">
      <c r="A8" s="11" t="inlineStr">
        <is>
          <t>Audit level</t>
        </is>
      </c>
      <c r="B8" s="12" t="inlineStr">
        <is>
          <t>Reasonable assurance</t>
        </is>
      </c>
      <c r="C8" s="13" t="inlineStr">
        <is>
          <t>Reasonable assurance</t>
        </is>
      </c>
    </row>
    <row r="9" ht="20" customHeight="1">
      <c r="A9" s="11" t="inlineStr">
        <is>
          <t>Scope 2 method</t>
        </is>
      </c>
      <c r="B9" s="12" t="inlineStr">
        <is>
          <t>Market-based</t>
        </is>
      </c>
      <c r="C9" s="13" t="inlineStr">
        <is>
          <t>Market-based</t>
        </is>
      </c>
    </row>
    <row r="10" ht="20" customHeight="1">
      <c r="A10" s="11" t="inlineStr">
        <is>
          <t>Vehicles sold (~)</t>
        </is>
      </c>
      <c r="B10" s="12" t="inlineStr">
        <is>
          <t>~2.5 million</t>
        </is>
      </c>
      <c r="C10" s="13" t="inlineStr">
        <is>
          <t>~9.0 million</t>
        </is>
      </c>
    </row>
    <row r="11" ht="20" customHeight="1">
      <c r="A11" s="11" t="inlineStr">
        <is>
          <t>Employees (2025)</t>
        </is>
      </c>
      <c r="B11" s="12" t="inlineStr">
        <is>
          <t>154,540</t>
        </is>
      </c>
      <c r="C11" s="13" t="inlineStr">
        <is>
          <t>602,659</t>
        </is>
      </c>
    </row>
    <row r="12" ht="20" customHeight="1">
      <c r="A12" s="11" t="inlineStr">
        <is>
          <t>URL</t>
        </is>
      </c>
      <c r="B12" s="12" t="inlineStr">
        <is>
          <t>bmwgroup.com/en/sustainability</t>
        </is>
      </c>
      <c r="C12" s="13" t="inlineStr">
        <is>
          <t>volkswagen-group.com/sustainability</t>
        </is>
      </c>
    </row>
    <row r="13" ht="20" customHeight="1">
      <c r="A13" s="11" t="inlineStr">
        <is>
          <t>Analysis by</t>
        </is>
      </c>
      <c r="B13" s="12" t="inlineStr">
        <is>
          <t>Matin Bahadori — BTU Cottbus-Senftenberg</t>
        </is>
      </c>
      <c r="C13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2026-07-02T15:55:39Z</dcterms:created>
  <dcterms:modified xmlns:dcterms="http://purl.org/dc/terms/" xmlns:xsi="http://www.w3.org/2001/XMLSchema-instance" xsi:type="dcterms:W3CDTF">2026-07-02T15:55:39Z</dcterms:modified>
</cp:coreProperties>
</file>